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nr\Documents\EasyEat\documents\"/>
    </mc:Choice>
  </mc:AlternateContent>
  <xr:revisionPtr revIDLastSave="0" documentId="13_ncr:1_{51056F1B-4F27-4DC0-AD7E-3762772CD88A}" xr6:coauthVersionLast="47" xr6:coauthVersionMax="47" xr10:uidLastSave="{00000000-0000-0000-0000-000000000000}"/>
  <bookViews>
    <workbookView xWindow="-120" yWindow="-120" windowWidth="29040" windowHeight="15720" xr2:uid="{BB580483-3D38-4A7F-B534-83DD648157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C16" i="1"/>
  <c r="F21" i="1"/>
  <c r="F22" i="1"/>
  <c r="F23" i="1"/>
  <c r="F24" i="1"/>
  <c r="F25" i="1"/>
  <c r="F26" i="1"/>
  <c r="F27" i="1"/>
  <c r="F28" i="1"/>
  <c r="F29" i="1"/>
  <c r="F4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I5" i="1" l="1"/>
  <c r="I4" i="1"/>
  <c r="I6" i="1"/>
  <c r="I7" i="1"/>
</calcChain>
</file>

<file path=xl/sharedStrings.xml><?xml version="1.0" encoding="utf-8"?>
<sst xmlns="http://schemas.openxmlformats.org/spreadsheetml/2006/main" count="42" uniqueCount="38">
  <si>
    <t>reduction</t>
  </si>
  <si>
    <t>does apply?</t>
  </si>
  <si>
    <t>path</t>
  </si>
  <si>
    <t>/api/categories</t>
  </si>
  <si>
    <t>/api/categories/{id}</t>
  </si>
  <si>
    <t>/api/categories/products</t>
  </si>
  <si>
    <t>/api/categories/{categoryId}/products</t>
  </si>
  <si>
    <t>before (ms)</t>
  </si>
  <si>
    <t>after (ms)</t>
  </si>
  <si>
    <t>/api/products</t>
  </si>
  <si>
    <t>/api/products/{productId}</t>
  </si>
  <si>
    <t>/api/products/search</t>
  </si>
  <si>
    <t>/api/products/top/new</t>
  </si>
  <si>
    <t>/api/products/top/selling</t>
  </si>
  <si>
    <t>/api/sellers/{sellerId}/products</t>
  </si>
  <si>
    <t>Maximum</t>
  </si>
  <si>
    <t>Minimum</t>
  </si>
  <si>
    <t>Average</t>
  </si>
  <si>
    <t>Median</t>
  </si>
  <si>
    <t>Calculated values</t>
  </si>
  <si>
    <t>value</t>
  </si>
  <si>
    <t>Optimization numbers</t>
  </si>
  <si>
    <t>Testing details</t>
  </si>
  <si>
    <t>CPU</t>
  </si>
  <si>
    <t>R7 7730U</t>
  </si>
  <si>
    <t>RAM</t>
  </si>
  <si>
    <t>16GB</t>
  </si>
  <si>
    <t>Storage</t>
  </si>
  <si>
    <t>Column</t>
  </si>
  <si>
    <t>Was the optimization applied to this endpoint</t>
  </si>
  <si>
    <t>Explanation:</t>
  </si>
  <si>
    <t>Time taken to fulfill the request before optimization was applied, in miliseconds</t>
  </si>
  <si>
    <t>Time taken to fulfill the request after optimization was applied, in miliseconds</t>
  </si>
  <si>
    <t>Reduction in delay, calculated by % change ((after - before)/before)</t>
  </si>
  <si>
    <t>Ideapad Slim 5 Light 14ABR8</t>
  </si>
  <si>
    <t>PCIe 4.0x4 NVMe</t>
  </si>
  <si>
    <t>Type</t>
  </si>
  <si>
    <t>Model: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</si>
</sst>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4"/>
      <color theme="1"/>
      <name val="Calibri"/>
      <family val="2"/>
    </font>
    <font>
      <sz val="14"/>
      <name val="Calibri"/>
      <family val="2"/>
    </font>
    <font>
      <b/>
      <sz val="20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 style="thin">
        <color indexed="64"/>
      </top>
      <bottom style="thick">
        <color theme="4"/>
      </bottom>
      <diagonal/>
    </border>
    <border>
      <left/>
      <right/>
      <top style="thin">
        <color indexed="64"/>
      </top>
      <bottom style="thick">
        <color theme="4"/>
      </bottom>
      <diagonal/>
    </border>
    <border>
      <left/>
      <right style="thin">
        <color indexed="64"/>
      </right>
      <top style="thin">
        <color indexed="64"/>
      </top>
      <bottom style="thick">
        <color theme="4"/>
      </bottom>
      <diagonal/>
    </border>
    <border>
      <left style="thin">
        <color indexed="64"/>
      </left>
      <right/>
      <top/>
      <bottom style="thick">
        <color theme="4" tint="0.499984740745262"/>
      </bottom>
      <diagonal/>
    </border>
    <border>
      <left/>
      <right style="thin">
        <color indexed="64"/>
      </right>
      <top/>
      <bottom style="thick">
        <color theme="4" tint="0.499984740745262"/>
      </bottom>
      <diagonal/>
    </border>
    <border>
      <left style="thin">
        <color indexed="64"/>
      </left>
      <right/>
      <top style="thick">
        <color theme="4" tint="0.499984740745262"/>
      </top>
      <bottom style="thin">
        <color indexed="64"/>
      </bottom>
      <diagonal/>
    </border>
    <border>
      <left/>
      <right/>
      <top style="thick">
        <color theme="4" tint="0.499984740745262"/>
      </top>
      <bottom style="thin">
        <color indexed="64"/>
      </bottom>
      <diagonal/>
    </border>
    <border>
      <left/>
      <right style="thin">
        <color indexed="64"/>
      </right>
      <top style="thick">
        <color theme="4" tint="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theme="4"/>
      </top>
      <bottom style="thin">
        <color indexed="64"/>
      </bottom>
      <diagonal/>
    </border>
    <border>
      <left/>
      <right style="thin">
        <color indexed="64"/>
      </right>
      <top style="thick">
        <color theme="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31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10" fontId="3" fillId="0" borderId="0" xfId="0" applyNumberFormat="1" applyFont="1" applyAlignment="1">
      <alignment vertical="center" wrapText="1"/>
    </xf>
    <xf numFmtId="10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0" fontId="4" fillId="0" borderId="0" xfId="0" applyNumberFormat="1" applyFont="1" applyAlignment="1">
      <alignment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6" fillId="0" borderId="6" xfId="2" applyFont="1" applyBorder="1" applyAlignment="1">
      <alignment vertical="center" wrapText="1"/>
    </xf>
    <xf numFmtId="0" fontId="6" fillId="0" borderId="2" xfId="2" applyFont="1" applyBorder="1" applyAlignment="1">
      <alignment vertical="center" wrapText="1"/>
    </xf>
    <xf numFmtId="10" fontId="6" fillId="0" borderId="7" xfId="2" applyNumberFormat="1" applyFont="1" applyBorder="1" applyAlignment="1">
      <alignment vertical="center" wrapText="1"/>
    </xf>
    <xf numFmtId="10" fontId="6" fillId="0" borderId="6" xfId="2" applyNumberFormat="1" applyFont="1" applyBorder="1" applyAlignment="1">
      <alignment vertical="center" wrapText="1"/>
    </xf>
    <xf numFmtId="0" fontId="6" fillId="0" borderId="6" xfId="2" applyFont="1" applyBorder="1" applyAlignment="1">
      <alignment vertical="center"/>
    </xf>
    <xf numFmtId="10" fontId="6" fillId="0" borderId="2" xfId="2" applyNumberFormat="1" applyFont="1" applyBorder="1" applyAlignment="1">
      <alignment vertical="center"/>
    </xf>
    <xf numFmtId="10" fontId="6" fillId="0" borderId="7" xfId="2" applyNumberFormat="1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10" fontId="4" fillId="0" borderId="10" xfId="0" applyNumberFormat="1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10" fontId="4" fillId="0" borderId="13" xfId="0" applyNumberFormat="1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</cellXfs>
  <cellStyles count="3">
    <cellStyle name="Heading 1" xfId="1" builtinId="16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Optimization</a:t>
            </a:r>
            <a:r>
              <a:rPr lang="en-US" sz="2000" b="1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visualization</a:t>
            </a:r>
            <a:endParaRPr lang="en-US" sz="2000" b="1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before (ms)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Sheet1!$B$4:$B$13</c15:sqref>
                  </c15:fullRef>
                </c:ext>
              </c:extLst>
              <c:f>(Sheet1!$B$6:$B$8,Sheet1!$B$10,Sheet1!$B$13)</c:f>
              <c:strCache>
                <c:ptCount val="5"/>
                <c:pt idx="0">
                  <c:v>/api/categories/products</c:v>
                </c:pt>
                <c:pt idx="1">
                  <c:v>/api/categories/{categoryId}/products</c:v>
                </c:pt>
                <c:pt idx="2">
                  <c:v>/api/products</c:v>
                </c:pt>
                <c:pt idx="3">
                  <c:v>/api/products/search</c:v>
                </c:pt>
                <c:pt idx="4">
                  <c:v>/api/sellers/{sellerId}/products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Sheet1!$C$4:$C$13</c15:sqref>
                  </c15:fullRef>
                </c:ext>
              </c:extLst>
              <c:f>(Sheet1!$C$6:$C$8,Sheet1!$C$10,Sheet1!$C$13)</c:f>
              <c:numCache>
                <c:formatCode>General</c:formatCode>
                <c:ptCount val="5"/>
                <c:pt idx="0">
                  <c:v>180</c:v>
                </c:pt>
                <c:pt idx="1">
                  <c:v>20</c:v>
                </c:pt>
                <c:pt idx="2">
                  <c:v>120</c:v>
                </c:pt>
                <c:pt idx="3">
                  <c:v>14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9-44FD-BACE-59DF7EA17FEE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after (ms)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Sheet1!$B$4:$B$13</c15:sqref>
                  </c15:fullRef>
                </c:ext>
              </c:extLst>
              <c:f>(Sheet1!$B$6:$B$8,Sheet1!$B$10,Sheet1!$B$13)</c:f>
              <c:strCache>
                <c:ptCount val="5"/>
                <c:pt idx="0">
                  <c:v>/api/categories/products</c:v>
                </c:pt>
                <c:pt idx="1">
                  <c:v>/api/categories/{categoryId}/products</c:v>
                </c:pt>
                <c:pt idx="2">
                  <c:v>/api/products</c:v>
                </c:pt>
                <c:pt idx="3">
                  <c:v>/api/products/search</c:v>
                </c:pt>
                <c:pt idx="4">
                  <c:v>/api/sellers/{sellerId}/products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Sheet1!$D$4:$D$13</c15:sqref>
                  </c15:fullRef>
                </c:ext>
              </c:extLst>
              <c:f>(Sheet1!$D$6:$D$8,Sheet1!$D$10,Sheet1!$D$13)</c:f>
              <c:numCache>
                <c:formatCode>General</c:formatCode>
                <c:ptCount val="5"/>
                <c:pt idx="0">
                  <c:v>40</c:v>
                </c:pt>
                <c:pt idx="1">
                  <c:v>12</c:v>
                </c:pt>
                <c:pt idx="2">
                  <c:v>32</c:v>
                </c:pt>
                <c:pt idx="3">
                  <c:v>10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79-44FD-BACE-59DF7EA17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9917104"/>
        <c:axId val="1219917520"/>
      </c:barChart>
      <c:catAx>
        <c:axId val="1219917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917520"/>
        <c:crosses val="autoZero"/>
        <c:auto val="1"/>
        <c:lblAlgn val="ctr"/>
        <c:lblOffset val="100"/>
        <c:noMultiLvlLbl val="0"/>
      </c:catAx>
      <c:valAx>
        <c:axId val="121991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91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233362</xdr:colOff>
      <xdr:row>20</xdr:row>
      <xdr:rowOff>238124</xdr:rowOff>
    </xdr:from>
    <xdr:to>
      <xdr:col>9</xdr:col>
      <xdr:colOff>0</xdr:colOff>
      <xdr:row>39</xdr:row>
      <xdr:rowOff>13607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040C35-9C74-4A54-911D-C62C8890E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B47D2-B0A8-4D6E-8E52-53364018EAEC}">
  <sheetPr>
    <pageSetUpPr fitToPage="1"/>
  </sheetPr>
  <dimension ref="B2:J83"/>
  <sheetViews>
    <sheetView tabSelected="1" zoomScale="70" zoomScaleNormal="70" workbookViewId="0">
      <selection activeCell="Q20" sqref="Q20"/>
    </sheetView>
  </sheetViews>
  <sheetFormatPr defaultRowHeight="18.75"/>
  <cols>
    <col min="1" max="1" width="3.125" style="1" customWidth="1"/>
    <col min="2" max="2" width="42.5" style="1" customWidth="1"/>
    <col min="3" max="3" width="8" style="1" customWidth="1"/>
    <col min="4" max="4" width="6" style="1" customWidth="1"/>
    <col min="5" max="5" width="7.75" style="1" customWidth="1"/>
    <col min="6" max="6" width="11.25" style="4" customWidth="1"/>
    <col min="7" max="7" width="3.875" style="1" customWidth="1"/>
    <col min="8" max="8" width="10.5" style="1" customWidth="1"/>
    <col min="9" max="9" width="30" style="1" customWidth="1"/>
    <col min="10" max="10" width="4" style="1" customWidth="1"/>
    <col min="11" max="16384" width="9" style="1"/>
  </cols>
  <sheetData>
    <row r="2" spans="2:10" ht="27" thickBot="1">
      <c r="B2" s="8" t="s">
        <v>21</v>
      </c>
      <c r="C2" s="9"/>
      <c r="D2" s="9"/>
      <c r="E2" s="9"/>
      <c r="F2" s="10"/>
      <c r="G2" s="5"/>
      <c r="H2" s="8" t="s">
        <v>19</v>
      </c>
      <c r="I2" s="10"/>
    </row>
    <row r="3" spans="2:10" s="2" customFormat="1" ht="39" thickTop="1" thickBot="1">
      <c r="B3" s="11" t="s">
        <v>2</v>
      </c>
      <c r="C3" s="12" t="s">
        <v>7</v>
      </c>
      <c r="D3" s="12" t="s">
        <v>8</v>
      </c>
      <c r="E3" s="12" t="s">
        <v>1</v>
      </c>
      <c r="F3" s="13" t="s">
        <v>0</v>
      </c>
      <c r="G3" s="6"/>
      <c r="H3" s="14" t="s">
        <v>36</v>
      </c>
      <c r="I3" s="13" t="s">
        <v>20</v>
      </c>
      <c r="J3" s="3"/>
    </row>
    <row r="4" spans="2:10" ht="19.5" thickTop="1">
      <c r="B4" s="18" t="s">
        <v>3</v>
      </c>
      <c r="C4" s="19">
        <v>9</v>
      </c>
      <c r="D4" s="19">
        <v>9</v>
      </c>
      <c r="E4" s="19" t="b">
        <v>0</v>
      </c>
      <c r="F4" s="20" t="str">
        <f t="shared" ref="F4:F13" si="0">IF(E4, (D4-C4)/C4*-1, "")</f>
        <v/>
      </c>
      <c r="G4" s="5"/>
      <c r="H4" s="18" t="s">
        <v>17</v>
      </c>
      <c r="I4" s="20">
        <f>AVERAGE($F:$F)</f>
        <v>0.51936507936507925</v>
      </c>
    </row>
    <row r="5" spans="2:10">
      <c r="B5" s="21" t="s">
        <v>4</v>
      </c>
      <c r="C5" s="22">
        <v>9</v>
      </c>
      <c r="D5" s="22">
        <v>9</v>
      </c>
      <c r="E5" s="22" t="b">
        <v>0</v>
      </c>
      <c r="F5" s="23" t="str">
        <f t="shared" si="0"/>
        <v/>
      </c>
      <c r="G5" s="5"/>
      <c r="H5" s="21" t="s">
        <v>18</v>
      </c>
      <c r="I5" s="23">
        <f>MEDIAN($F:$F)</f>
        <v>0.4</v>
      </c>
    </row>
    <row r="6" spans="2:10">
      <c r="B6" s="21" t="s">
        <v>5</v>
      </c>
      <c r="C6" s="22">
        <v>180</v>
      </c>
      <c r="D6" s="22">
        <v>40</v>
      </c>
      <c r="E6" s="22" t="b">
        <v>1</v>
      </c>
      <c r="F6" s="23">
        <f t="shared" si="0"/>
        <v>0.77777777777777779</v>
      </c>
      <c r="G6" s="5"/>
      <c r="H6" s="21" t="s">
        <v>15</v>
      </c>
      <c r="I6" s="23">
        <f>MAX($F:$F)</f>
        <v>0.77777777777777779</v>
      </c>
    </row>
    <row r="7" spans="2:10">
      <c r="B7" s="21" t="s">
        <v>6</v>
      </c>
      <c r="C7" s="22">
        <v>20</v>
      </c>
      <c r="D7" s="22">
        <v>12</v>
      </c>
      <c r="E7" s="22" t="b">
        <v>1</v>
      </c>
      <c r="F7" s="23">
        <f t="shared" si="0"/>
        <v>0.4</v>
      </c>
      <c r="G7" s="5"/>
      <c r="H7" s="21" t="s">
        <v>16</v>
      </c>
      <c r="I7" s="23">
        <f>MIN($F:$F)</f>
        <v>0.2857142857142857</v>
      </c>
    </row>
    <row r="8" spans="2:10">
      <c r="B8" s="21" t="s">
        <v>9</v>
      </c>
      <c r="C8" s="22">
        <v>120</v>
      </c>
      <c r="D8" s="22">
        <v>32</v>
      </c>
      <c r="E8" s="22" t="b">
        <v>1</v>
      </c>
      <c r="F8" s="23">
        <f t="shared" si="0"/>
        <v>0.73333333333333328</v>
      </c>
      <c r="G8" s="5"/>
      <c r="H8" s="5"/>
      <c r="I8" s="5"/>
    </row>
    <row r="9" spans="2:10" ht="27" thickBot="1">
      <c r="B9" s="21" t="s">
        <v>10</v>
      </c>
      <c r="C9" s="22">
        <v>9</v>
      </c>
      <c r="D9" s="22">
        <v>9</v>
      </c>
      <c r="E9" s="22" t="b">
        <v>0</v>
      </c>
      <c r="F9" s="23" t="str">
        <f t="shared" si="0"/>
        <v/>
      </c>
      <c r="G9" s="5"/>
      <c r="H9" s="8" t="s">
        <v>22</v>
      </c>
      <c r="I9" s="10"/>
    </row>
    <row r="10" spans="2:10" ht="19.5" thickTop="1">
      <c r="B10" s="21" t="s">
        <v>11</v>
      </c>
      <c r="C10" s="22">
        <v>14</v>
      </c>
      <c r="D10" s="22">
        <v>10</v>
      </c>
      <c r="E10" s="22" t="b">
        <v>1</v>
      </c>
      <c r="F10" s="23">
        <f t="shared" si="0"/>
        <v>0.2857142857142857</v>
      </c>
      <c r="G10" s="5"/>
      <c r="H10" s="24" t="s">
        <v>37</v>
      </c>
      <c r="I10" s="25" t="s">
        <v>34</v>
      </c>
    </row>
    <row r="11" spans="2:10">
      <c r="B11" s="21" t="s">
        <v>12</v>
      </c>
      <c r="C11" s="22">
        <v>15</v>
      </c>
      <c r="D11" s="22">
        <v>15</v>
      </c>
      <c r="E11" s="22" t="b">
        <v>0</v>
      </c>
      <c r="F11" s="23" t="str">
        <f t="shared" si="0"/>
        <v/>
      </c>
      <c r="G11" s="5"/>
      <c r="H11" s="21" t="s">
        <v>23</v>
      </c>
      <c r="I11" s="26" t="s">
        <v>24</v>
      </c>
    </row>
    <row r="12" spans="2:10">
      <c r="B12" s="21" t="s">
        <v>13</v>
      </c>
      <c r="C12" s="22">
        <v>15</v>
      </c>
      <c r="D12" s="22">
        <v>15</v>
      </c>
      <c r="E12" s="22" t="b">
        <v>0</v>
      </c>
      <c r="F12" s="23" t="str">
        <f t="shared" si="0"/>
        <v/>
      </c>
      <c r="G12" s="5"/>
      <c r="H12" s="21" t="s">
        <v>25</v>
      </c>
      <c r="I12" s="26" t="s">
        <v>26</v>
      </c>
    </row>
    <row r="13" spans="2:10">
      <c r="B13" s="21" t="s">
        <v>14</v>
      </c>
      <c r="C13" s="22">
        <v>25</v>
      </c>
      <c r="D13" s="22">
        <v>15</v>
      </c>
      <c r="E13" s="22" t="b">
        <v>1</v>
      </c>
      <c r="F13" s="23">
        <f t="shared" si="0"/>
        <v>0.4</v>
      </c>
      <c r="G13" s="5"/>
      <c r="H13" s="21" t="s">
        <v>27</v>
      </c>
      <c r="I13" s="26" t="s">
        <v>35</v>
      </c>
    </row>
    <row r="14" spans="2:10">
      <c r="B14" s="5"/>
      <c r="C14" s="5"/>
      <c r="D14" s="5"/>
      <c r="E14" s="5"/>
      <c r="F14" s="7" t="str">
        <f t="shared" ref="F14:F29" si="1">IF(E14, (D14-C14)/C14*-1, "")</f>
        <v/>
      </c>
      <c r="G14" s="5"/>
      <c r="H14" s="5"/>
      <c r="I14" s="5"/>
    </row>
    <row r="15" spans="2:10" ht="27" thickBot="1">
      <c r="B15" s="8" t="s">
        <v>30</v>
      </c>
      <c r="C15" s="9"/>
      <c r="D15" s="9"/>
      <c r="E15" s="9"/>
      <c r="F15" s="9"/>
      <c r="G15" s="9"/>
      <c r="H15" s="9"/>
      <c r="I15" s="10"/>
    </row>
    <row r="16" spans="2:10" ht="20.25" thickTop="1" thickBot="1">
      <c r="B16" s="15" t="s">
        <v>28</v>
      </c>
      <c r="C16" s="16" t="str">
        <f>IF(E16, (D16-#REF!)/#REF!*-1, "")</f>
        <v/>
      </c>
      <c r="D16" s="16"/>
      <c r="E16" s="16"/>
      <c r="F16" s="16"/>
      <c r="G16" s="16"/>
      <c r="H16" s="16"/>
      <c r="I16" s="17"/>
    </row>
    <row r="17" spans="2:9" ht="19.5" thickTop="1">
      <c r="B17" s="18" t="s">
        <v>7</v>
      </c>
      <c r="C17" s="27" t="s">
        <v>31</v>
      </c>
      <c r="D17" s="27"/>
      <c r="E17" s="27"/>
      <c r="F17" s="27"/>
      <c r="G17" s="27"/>
      <c r="H17" s="27"/>
      <c r="I17" s="28"/>
    </row>
    <row r="18" spans="2:9">
      <c r="B18" s="21" t="s">
        <v>8</v>
      </c>
      <c r="C18" s="29" t="s">
        <v>32</v>
      </c>
      <c r="D18" s="29"/>
      <c r="E18" s="29"/>
      <c r="F18" s="29"/>
      <c r="G18" s="29"/>
      <c r="H18" s="29"/>
      <c r="I18" s="30"/>
    </row>
    <row r="19" spans="2:9">
      <c r="B19" s="21" t="s">
        <v>1</v>
      </c>
      <c r="C19" s="29" t="s">
        <v>29</v>
      </c>
      <c r="D19" s="29"/>
      <c r="E19" s="29"/>
      <c r="F19" s="29"/>
      <c r="G19" s="29"/>
      <c r="H19" s="29"/>
      <c r="I19" s="30"/>
    </row>
    <row r="20" spans="2:9">
      <c r="B20" s="21" t="s">
        <v>0</v>
      </c>
      <c r="C20" s="29" t="s">
        <v>33</v>
      </c>
      <c r="D20" s="29"/>
      <c r="E20" s="29"/>
      <c r="F20" s="29"/>
      <c r="G20" s="29"/>
      <c r="H20" s="29"/>
      <c r="I20" s="30"/>
    </row>
    <row r="21" spans="2:9">
      <c r="B21" s="5"/>
      <c r="C21" s="5"/>
      <c r="D21" s="5"/>
      <c r="E21" s="5"/>
      <c r="F21" s="7" t="str">
        <f t="shared" si="1"/>
        <v/>
      </c>
      <c r="G21" s="5"/>
      <c r="H21" s="5"/>
      <c r="I21" s="5"/>
    </row>
    <row r="22" spans="2:9">
      <c r="B22" s="5"/>
      <c r="C22" s="5"/>
      <c r="D22" s="5"/>
      <c r="E22" s="5"/>
      <c r="F22" s="7" t="str">
        <f t="shared" si="1"/>
        <v/>
      </c>
      <c r="G22" s="5"/>
      <c r="H22" s="5"/>
      <c r="I22" s="5"/>
    </row>
    <row r="23" spans="2:9">
      <c r="B23" s="5"/>
      <c r="C23" s="5"/>
      <c r="D23" s="5"/>
      <c r="E23" s="5"/>
      <c r="F23" s="7" t="str">
        <f t="shared" si="1"/>
        <v/>
      </c>
      <c r="G23" s="5"/>
      <c r="H23" s="5"/>
      <c r="I23" s="5"/>
    </row>
    <row r="24" spans="2:9">
      <c r="B24" s="5"/>
      <c r="C24" s="5"/>
      <c r="D24" s="5"/>
      <c r="E24" s="5"/>
      <c r="F24" s="7" t="str">
        <f t="shared" si="1"/>
        <v/>
      </c>
      <c r="G24" s="5"/>
      <c r="H24" s="5"/>
      <c r="I24" s="5"/>
    </row>
    <row r="25" spans="2:9">
      <c r="B25" s="5"/>
      <c r="C25" s="5"/>
      <c r="D25" s="5"/>
      <c r="E25" s="5"/>
      <c r="F25" s="7" t="str">
        <f t="shared" si="1"/>
        <v/>
      </c>
      <c r="G25" s="5"/>
      <c r="H25" s="5"/>
      <c r="I25" s="5"/>
    </row>
    <row r="26" spans="2:9">
      <c r="B26" s="5"/>
      <c r="C26" s="5"/>
      <c r="D26" s="5"/>
      <c r="E26" s="5"/>
      <c r="F26" s="7" t="str">
        <f t="shared" si="1"/>
        <v/>
      </c>
      <c r="G26" s="5"/>
      <c r="H26" s="5"/>
      <c r="I26" s="5"/>
    </row>
    <row r="27" spans="2:9">
      <c r="B27" s="5"/>
      <c r="C27" s="5"/>
      <c r="D27" s="5"/>
      <c r="E27" s="5"/>
      <c r="F27" s="7" t="str">
        <f t="shared" si="1"/>
        <v/>
      </c>
      <c r="G27" s="5"/>
      <c r="H27" s="5"/>
      <c r="I27" s="5"/>
    </row>
    <row r="28" spans="2:9">
      <c r="B28" s="5"/>
      <c r="C28" s="5"/>
      <c r="D28" s="5"/>
      <c r="E28" s="5"/>
      <c r="F28" s="7" t="str">
        <f t="shared" si="1"/>
        <v/>
      </c>
      <c r="G28" s="5"/>
      <c r="H28" s="5"/>
      <c r="I28" s="5"/>
    </row>
    <row r="29" spans="2:9">
      <c r="B29" s="5"/>
      <c r="C29" s="5"/>
      <c r="D29" s="5"/>
      <c r="E29" s="5"/>
      <c r="F29" s="7" t="str">
        <f t="shared" si="1"/>
        <v/>
      </c>
      <c r="G29" s="5"/>
      <c r="H29" s="5"/>
      <c r="I29" s="5"/>
    </row>
    <row r="30" spans="2:9">
      <c r="B30" s="5"/>
      <c r="C30" s="5"/>
      <c r="D30" s="5"/>
      <c r="E30" s="5"/>
      <c r="F30" s="7" t="str">
        <f t="shared" ref="F30:F67" si="2">IF(E30, ABS((D30-C30)/C30), "")</f>
        <v/>
      </c>
      <c r="G30" s="5"/>
      <c r="H30" s="5"/>
      <c r="I30" s="5"/>
    </row>
    <row r="31" spans="2:9">
      <c r="B31" s="5"/>
      <c r="C31" s="5"/>
      <c r="D31" s="5"/>
      <c r="E31" s="5"/>
      <c r="F31" s="7" t="str">
        <f t="shared" si="2"/>
        <v/>
      </c>
      <c r="G31" s="5"/>
      <c r="H31" s="5"/>
      <c r="I31" s="5"/>
    </row>
    <row r="32" spans="2:9">
      <c r="B32" s="5"/>
      <c r="C32" s="5"/>
      <c r="D32" s="5"/>
      <c r="E32" s="5"/>
      <c r="F32" s="7" t="str">
        <f t="shared" si="2"/>
        <v/>
      </c>
      <c r="G32" s="5"/>
      <c r="H32" s="5"/>
      <c r="I32" s="5"/>
    </row>
    <row r="33" spans="2:9">
      <c r="B33" s="5"/>
      <c r="C33" s="5"/>
      <c r="D33" s="5"/>
      <c r="E33" s="5"/>
      <c r="F33" s="7" t="str">
        <f t="shared" si="2"/>
        <v/>
      </c>
      <c r="G33" s="5"/>
      <c r="H33" s="5"/>
      <c r="I33" s="5"/>
    </row>
    <row r="34" spans="2:9">
      <c r="B34" s="5"/>
      <c r="C34" s="5"/>
      <c r="D34" s="5"/>
      <c r="E34" s="5"/>
      <c r="F34" s="7" t="str">
        <f t="shared" si="2"/>
        <v/>
      </c>
      <c r="G34" s="5"/>
      <c r="H34" s="5"/>
      <c r="I34" s="5"/>
    </row>
    <row r="35" spans="2:9">
      <c r="B35" s="5"/>
      <c r="C35" s="5"/>
      <c r="D35" s="5"/>
      <c r="E35" s="5"/>
      <c r="F35" s="7" t="str">
        <f t="shared" si="2"/>
        <v/>
      </c>
      <c r="G35" s="5"/>
      <c r="H35" s="5"/>
      <c r="I35" s="5"/>
    </row>
    <row r="36" spans="2:9">
      <c r="B36" s="5"/>
      <c r="C36" s="5"/>
      <c r="D36" s="5"/>
      <c r="E36" s="5"/>
      <c r="F36" s="7" t="str">
        <f t="shared" si="2"/>
        <v/>
      </c>
      <c r="G36" s="5"/>
      <c r="H36" s="5"/>
      <c r="I36" s="5"/>
    </row>
    <row r="37" spans="2:9">
      <c r="B37" s="5"/>
      <c r="C37" s="5"/>
      <c r="D37" s="5"/>
      <c r="E37" s="5"/>
      <c r="F37" s="7" t="str">
        <f t="shared" si="2"/>
        <v/>
      </c>
      <c r="G37" s="5"/>
      <c r="H37" s="5"/>
      <c r="I37" s="5"/>
    </row>
    <row r="38" spans="2:9">
      <c r="B38" s="5"/>
      <c r="C38" s="5"/>
      <c r="D38" s="5"/>
      <c r="E38" s="5"/>
      <c r="F38" s="7" t="str">
        <f t="shared" si="2"/>
        <v/>
      </c>
      <c r="G38" s="5"/>
      <c r="H38" s="5"/>
      <c r="I38" s="5"/>
    </row>
    <row r="39" spans="2:9">
      <c r="B39" s="5"/>
      <c r="C39" s="5"/>
      <c r="D39" s="5"/>
      <c r="E39" s="5"/>
      <c r="F39" s="7" t="str">
        <f t="shared" si="2"/>
        <v/>
      </c>
      <c r="G39" s="5"/>
      <c r="H39" s="5"/>
      <c r="I39" s="5"/>
    </row>
    <row r="40" spans="2:9">
      <c r="B40" s="5"/>
      <c r="C40" s="5"/>
      <c r="D40" s="5"/>
      <c r="E40" s="5"/>
      <c r="F40" s="7" t="str">
        <f t="shared" si="2"/>
        <v/>
      </c>
      <c r="G40" s="5"/>
      <c r="H40" s="5"/>
      <c r="I40" s="5"/>
    </row>
    <row r="41" spans="2:9">
      <c r="B41" s="5"/>
      <c r="C41" s="5"/>
      <c r="D41" s="5"/>
      <c r="E41" s="5"/>
      <c r="F41" s="7" t="str">
        <f t="shared" si="2"/>
        <v/>
      </c>
      <c r="G41" s="5"/>
      <c r="H41" s="5"/>
      <c r="I41" s="5"/>
    </row>
    <row r="42" spans="2:9">
      <c r="B42" s="5"/>
      <c r="C42" s="5"/>
      <c r="D42" s="5"/>
      <c r="E42" s="5"/>
      <c r="F42" s="7" t="str">
        <f t="shared" si="2"/>
        <v/>
      </c>
      <c r="G42" s="5"/>
      <c r="H42" s="5"/>
      <c r="I42" s="5"/>
    </row>
    <row r="43" spans="2:9">
      <c r="B43" s="5"/>
      <c r="C43" s="5"/>
      <c r="D43" s="5"/>
      <c r="E43" s="5"/>
      <c r="F43" s="7" t="str">
        <f t="shared" si="2"/>
        <v/>
      </c>
      <c r="G43" s="5"/>
      <c r="H43" s="5"/>
      <c r="I43" s="5"/>
    </row>
    <row r="44" spans="2:9">
      <c r="B44" s="5"/>
      <c r="C44" s="5"/>
      <c r="D44" s="5"/>
      <c r="E44" s="5"/>
      <c r="F44" s="7" t="str">
        <f t="shared" si="2"/>
        <v/>
      </c>
      <c r="G44" s="5"/>
      <c r="H44" s="5"/>
      <c r="I44" s="5"/>
    </row>
    <row r="45" spans="2:9">
      <c r="B45" s="5"/>
      <c r="C45" s="5"/>
      <c r="D45" s="5"/>
      <c r="E45" s="5"/>
      <c r="F45" s="7" t="str">
        <f t="shared" si="2"/>
        <v/>
      </c>
      <c r="G45" s="5"/>
      <c r="H45" s="5"/>
      <c r="I45" s="5"/>
    </row>
    <row r="46" spans="2:9">
      <c r="B46" s="5"/>
      <c r="C46" s="5"/>
      <c r="D46" s="5"/>
      <c r="E46" s="5"/>
      <c r="F46" s="7" t="str">
        <f t="shared" si="2"/>
        <v/>
      </c>
      <c r="G46" s="5"/>
      <c r="H46" s="5"/>
      <c r="I46" s="5"/>
    </row>
    <row r="47" spans="2:9">
      <c r="B47" s="5"/>
      <c r="C47" s="5"/>
      <c r="D47" s="5"/>
      <c r="E47" s="5"/>
      <c r="F47" s="7" t="str">
        <f t="shared" si="2"/>
        <v/>
      </c>
      <c r="G47" s="5"/>
      <c r="H47" s="5"/>
      <c r="I47" s="5"/>
    </row>
    <row r="48" spans="2:9">
      <c r="B48" s="5"/>
      <c r="C48" s="5"/>
      <c r="D48" s="5"/>
      <c r="E48" s="5"/>
      <c r="F48" s="7" t="str">
        <f t="shared" si="2"/>
        <v/>
      </c>
      <c r="G48" s="5"/>
      <c r="H48" s="5"/>
      <c r="I48" s="5"/>
    </row>
    <row r="49" spans="2:9">
      <c r="B49" s="5"/>
      <c r="C49" s="5"/>
      <c r="D49" s="5"/>
      <c r="E49" s="5"/>
      <c r="F49" s="7" t="str">
        <f t="shared" si="2"/>
        <v/>
      </c>
      <c r="G49" s="5"/>
      <c r="H49" s="5"/>
      <c r="I49" s="5"/>
    </row>
    <row r="50" spans="2:9">
      <c r="B50" s="5"/>
      <c r="C50" s="5"/>
      <c r="D50" s="5"/>
      <c r="E50" s="5"/>
      <c r="F50" s="7" t="str">
        <f t="shared" si="2"/>
        <v/>
      </c>
      <c r="G50" s="5"/>
      <c r="H50" s="5"/>
      <c r="I50" s="5"/>
    </row>
    <row r="51" spans="2:9">
      <c r="B51" s="5"/>
      <c r="C51" s="5"/>
      <c r="D51" s="5"/>
      <c r="E51" s="5"/>
      <c r="F51" s="7" t="str">
        <f t="shared" si="2"/>
        <v/>
      </c>
      <c r="G51" s="5"/>
      <c r="H51" s="5"/>
      <c r="I51" s="5"/>
    </row>
    <row r="52" spans="2:9">
      <c r="B52" s="5"/>
      <c r="C52" s="5"/>
      <c r="D52" s="5"/>
      <c r="E52" s="5"/>
      <c r="F52" s="7" t="str">
        <f t="shared" si="2"/>
        <v/>
      </c>
      <c r="G52" s="5"/>
      <c r="H52" s="5"/>
      <c r="I52" s="5"/>
    </row>
    <row r="53" spans="2:9">
      <c r="B53" s="5"/>
      <c r="C53" s="5"/>
      <c r="D53" s="5"/>
      <c r="E53" s="5"/>
      <c r="F53" s="7" t="str">
        <f t="shared" si="2"/>
        <v/>
      </c>
      <c r="G53" s="5"/>
      <c r="H53" s="5"/>
      <c r="I53" s="5"/>
    </row>
    <row r="54" spans="2:9">
      <c r="B54" s="5"/>
      <c r="C54" s="5"/>
      <c r="D54" s="5"/>
      <c r="E54" s="5"/>
      <c r="F54" s="7" t="str">
        <f t="shared" si="2"/>
        <v/>
      </c>
      <c r="G54" s="5"/>
      <c r="H54" s="5"/>
      <c r="I54" s="5"/>
    </row>
    <row r="55" spans="2:9">
      <c r="B55" s="5"/>
      <c r="C55" s="5"/>
      <c r="D55" s="5"/>
      <c r="E55" s="5"/>
      <c r="F55" s="7" t="str">
        <f t="shared" si="2"/>
        <v/>
      </c>
      <c r="G55" s="5"/>
      <c r="H55" s="5"/>
      <c r="I55" s="5"/>
    </row>
    <row r="56" spans="2:9">
      <c r="B56" s="5"/>
      <c r="C56" s="5"/>
      <c r="D56" s="5"/>
      <c r="E56" s="5"/>
      <c r="F56" s="7" t="str">
        <f t="shared" si="2"/>
        <v/>
      </c>
      <c r="G56" s="5"/>
      <c r="H56" s="5"/>
      <c r="I56" s="5"/>
    </row>
    <row r="57" spans="2:9">
      <c r="B57" s="5"/>
      <c r="C57" s="5"/>
      <c r="D57" s="5"/>
      <c r="E57" s="5"/>
      <c r="F57" s="7" t="str">
        <f t="shared" si="2"/>
        <v/>
      </c>
      <c r="G57" s="5"/>
      <c r="H57" s="5"/>
      <c r="I57" s="5"/>
    </row>
    <row r="58" spans="2:9">
      <c r="B58" s="5"/>
      <c r="C58" s="5"/>
      <c r="D58" s="5"/>
      <c r="E58" s="5"/>
      <c r="F58" s="7" t="str">
        <f t="shared" si="2"/>
        <v/>
      </c>
      <c r="G58" s="5"/>
      <c r="H58" s="5"/>
      <c r="I58" s="5"/>
    </row>
    <row r="59" spans="2:9">
      <c r="B59" s="5"/>
      <c r="C59" s="5"/>
      <c r="D59" s="5"/>
      <c r="E59" s="5"/>
      <c r="F59" s="7" t="str">
        <f t="shared" si="2"/>
        <v/>
      </c>
      <c r="G59" s="5"/>
      <c r="H59" s="5"/>
      <c r="I59" s="5"/>
    </row>
    <row r="60" spans="2:9">
      <c r="B60" s="5"/>
      <c r="C60" s="5"/>
      <c r="D60" s="5"/>
      <c r="E60" s="5"/>
      <c r="F60" s="7" t="str">
        <f t="shared" si="2"/>
        <v/>
      </c>
      <c r="G60" s="5"/>
      <c r="H60" s="5"/>
      <c r="I60" s="5"/>
    </row>
    <row r="61" spans="2:9">
      <c r="B61" s="5"/>
      <c r="C61" s="5"/>
      <c r="D61" s="5"/>
      <c r="E61" s="5"/>
      <c r="F61" s="7" t="str">
        <f t="shared" si="2"/>
        <v/>
      </c>
      <c r="G61" s="5"/>
      <c r="H61" s="5"/>
      <c r="I61" s="5"/>
    </row>
    <row r="62" spans="2:9">
      <c r="B62" s="5"/>
      <c r="C62" s="5"/>
      <c r="D62" s="5"/>
      <c r="E62" s="5"/>
      <c r="F62" s="7" t="str">
        <f t="shared" si="2"/>
        <v/>
      </c>
      <c r="G62" s="5"/>
      <c r="H62" s="5"/>
      <c r="I62" s="5"/>
    </row>
    <row r="63" spans="2:9">
      <c r="B63" s="5"/>
      <c r="C63" s="5"/>
      <c r="D63" s="5"/>
      <c r="E63" s="5"/>
      <c r="F63" s="7" t="str">
        <f t="shared" si="2"/>
        <v/>
      </c>
      <c r="G63" s="5"/>
      <c r="H63" s="5"/>
      <c r="I63" s="5"/>
    </row>
    <row r="64" spans="2:9">
      <c r="B64" s="5"/>
      <c r="C64" s="5"/>
      <c r="D64" s="5"/>
      <c r="E64" s="5"/>
      <c r="F64" s="7" t="str">
        <f t="shared" si="2"/>
        <v/>
      </c>
      <c r="G64" s="5"/>
      <c r="H64" s="5"/>
      <c r="I64" s="5"/>
    </row>
    <row r="65" spans="2:9">
      <c r="B65" s="5"/>
      <c r="C65" s="5"/>
      <c r="D65" s="5"/>
      <c r="E65" s="5"/>
      <c r="F65" s="7" t="str">
        <f t="shared" si="2"/>
        <v/>
      </c>
      <c r="G65" s="5"/>
      <c r="H65" s="5"/>
      <c r="I65" s="5"/>
    </row>
    <row r="66" spans="2:9">
      <c r="B66" s="5"/>
      <c r="C66" s="5"/>
      <c r="D66" s="5"/>
      <c r="E66" s="5"/>
      <c r="F66" s="7" t="str">
        <f t="shared" si="2"/>
        <v/>
      </c>
      <c r="G66" s="5"/>
      <c r="H66" s="5"/>
      <c r="I66" s="5"/>
    </row>
    <row r="67" spans="2:9">
      <c r="B67" s="5"/>
      <c r="C67" s="5"/>
      <c r="D67" s="5"/>
      <c r="E67" s="5"/>
      <c r="F67" s="7" t="str">
        <f t="shared" si="2"/>
        <v/>
      </c>
      <c r="G67" s="5"/>
      <c r="H67" s="5"/>
      <c r="I67" s="5"/>
    </row>
    <row r="68" spans="2:9">
      <c r="B68" s="5"/>
      <c r="C68" s="5"/>
      <c r="D68" s="5"/>
      <c r="E68" s="5"/>
      <c r="F68" s="7" t="str">
        <f t="shared" ref="F68:F83" si="3">IF(E68, ABS((D68-C68)/C68), "")</f>
        <v/>
      </c>
      <c r="G68" s="5"/>
      <c r="H68" s="5"/>
      <c r="I68" s="5"/>
    </row>
    <row r="69" spans="2:9">
      <c r="B69" s="5"/>
      <c r="C69" s="5"/>
      <c r="D69" s="5"/>
      <c r="E69" s="5"/>
      <c r="F69" s="7" t="str">
        <f t="shared" si="3"/>
        <v/>
      </c>
      <c r="G69" s="5"/>
      <c r="H69" s="5"/>
      <c r="I69" s="5"/>
    </row>
    <row r="70" spans="2:9">
      <c r="B70" s="5"/>
      <c r="C70" s="5"/>
      <c r="D70" s="5"/>
      <c r="E70" s="5"/>
      <c r="F70" s="7" t="str">
        <f t="shared" si="3"/>
        <v/>
      </c>
      <c r="G70" s="5"/>
      <c r="H70" s="5"/>
      <c r="I70" s="5"/>
    </row>
    <row r="71" spans="2:9">
      <c r="B71" s="5"/>
      <c r="C71" s="5"/>
      <c r="D71" s="5"/>
      <c r="E71" s="5"/>
      <c r="F71" s="7" t="str">
        <f t="shared" si="3"/>
        <v/>
      </c>
      <c r="G71" s="5"/>
      <c r="H71" s="5"/>
      <c r="I71" s="5"/>
    </row>
    <row r="72" spans="2:9">
      <c r="B72" s="5"/>
      <c r="C72" s="5"/>
      <c r="D72" s="5"/>
      <c r="E72" s="5"/>
      <c r="F72" s="7" t="str">
        <f t="shared" si="3"/>
        <v/>
      </c>
      <c r="G72" s="5"/>
      <c r="H72" s="5"/>
      <c r="I72" s="5"/>
    </row>
    <row r="73" spans="2:9">
      <c r="B73" s="5"/>
      <c r="C73" s="5"/>
      <c r="D73" s="5"/>
      <c r="E73" s="5"/>
      <c r="F73" s="7" t="str">
        <f t="shared" si="3"/>
        <v/>
      </c>
      <c r="G73" s="5"/>
      <c r="H73" s="5"/>
      <c r="I73" s="5"/>
    </row>
    <row r="74" spans="2:9">
      <c r="B74" s="5"/>
      <c r="C74" s="5"/>
      <c r="D74" s="5"/>
      <c r="E74" s="5"/>
      <c r="F74" s="7" t="str">
        <f t="shared" si="3"/>
        <v/>
      </c>
      <c r="G74" s="5"/>
      <c r="H74" s="5"/>
      <c r="I74" s="5"/>
    </row>
    <row r="75" spans="2:9">
      <c r="B75" s="5"/>
      <c r="C75" s="5"/>
      <c r="D75" s="5"/>
      <c r="E75" s="5"/>
      <c r="F75" s="7" t="str">
        <f t="shared" si="3"/>
        <v/>
      </c>
      <c r="G75" s="5"/>
      <c r="H75" s="5"/>
      <c r="I75" s="5"/>
    </row>
    <row r="76" spans="2:9">
      <c r="B76" s="5"/>
      <c r="C76" s="5"/>
      <c r="D76" s="5"/>
      <c r="E76" s="5"/>
      <c r="F76" s="7" t="str">
        <f t="shared" si="3"/>
        <v/>
      </c>
      <c r="G76" s="5"/>
      <c r="H76" s="5"/>
      <c r="I76" s="5"/>
    </row>
    <row r="77" spans="2:9">
      <c r="B77" s="5"/>
      <c r="C77" s="5"/>
      <c r="D77" s="5"/>
      <c r="E77" s="5"/>
      <c r="F77" s="7" t="str">
        <f t="shared" si="3"/>
        <v/>
      </c>
      <c r="G77" s="5"/>
      <c r="H77" s="5"/>
      <c r="I77" s="5"/>
    </row>
    <row r="78" spans="2:9">
      <c r="B78" s="5"/>
      <c r="C78" s="5"/>
      <c r="D78" s="5"/>
      <c r="E78" s="5"/>
      <c r="F78" s="7" t="str">
        <f t="shared" si="3"/>
        <v/>
      </c>
      <c r="G78" s="5"/>
      <c r="H78" s="5"/>
      <c r="I78" s="5"/>
    </row>
    <row r="79" spans="2:9">
      <c r="B79" s="5"/>
      <c r="C79" s="5"/>
      <c r="D79" s="5"/>
      <c r="E79" s="5"/>
      <c r="F79" s="7" t="str">
        <f t="shared" si="3"/>
        <v/>
      </c>
      <c r="G79" s="5"/>
      <c r="H79" s="5"/>
      <c r="I79" s="5"/>
    </row>
    <row r="80" spans="2:9">
      <c r="B80" s="5"/>
      <c r="C80" s="5"/>
      <c r="D80" s="5"/>
      <c r="E80" s="5"/>
      <c r="F80" s="7" t="str">
        <f t="shared" si="3"/>
        <v/>
      </c>
      <c r="G80" s="5"/>
      <c r="H80" s="5"/>
      <c r="I80" s="5"/>
    </row>
    <row r="81" spans="2:9">
      <c r="B81" s="5"/>
      <c r="C81" s="5"/>
      <c r="D81" s="5"/>
      <c r="E81" s="5"/>
      <c r="F81" s="7" t="str">
        <f t="shared" si="3"/>
        <v/>
      </c>
      <c r="G81" s="5"/>
      <c r="H81" s="5"/>
      <c r="I81" s="5"/>
    </row>
    <row r="82" spans="2:9">
      <c r="B82" s="5"/>
      <c r="C82" s="5"/>
      <c r="D82" s="5"/>
      <c r="E82" s="5"/>
      <c r="F82" s="7" t="str">
        <f t="shared" si="3"/>
        <v/>
      </c>
      <c r="G82" s="5"/>
      <c r="H82" s="5"/>
      <c r="I82" s="5"/>
    </row>
    <row r="83" spans="2:9">
      <c r="B83" s="5"/>
      <c r="C83" s="5"/>
      <c r="D83" s="5"/>
      <c r="E83" s="5"/>
      <c r="F83" s="7" t="str">
        <f t="shared" si="3"/>
        <v/>
      </c>
      <c r="G83" s="5"/>
      <c r="H83" s="5"/>
      <c r="I83" s="5"/>
    </row>
  </sheetData>
  <mergeCells count="9">
    <mergeCell ref="C18:I18"/>
    <mergeCell ref="C20:I20"/>
    <mergeCell ref="B15:I15"/>
    <mergeCell ref="C17:I17"/>
    <mergeCell ref="H9:I9"/>
    <mergeCell ref="H2:I2"/>
    <mergeCell ref="B2:F2"/>
    <mergeCell ref="C16:I16"/>
    <mergeCell ref="C19:I19"/>
  </mergeCells>
  <pageMargins left="0.25" right="0.25" top="0.75" bottom="0.75" header="0.3" footer="0.3"/>
  <pageSetup paperSize="8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Silenced Frost</dc:creator>
  <cp:lastModifiedBy>Silenced Frost</cp:lastModifiedBy>
  <cp:lastPrinted>2025-12-11T17:43:34Z</cp:lastPrinted>
  <dcterms:created xsi:type="dcterms:W3CDTF">2025-12-08T05:35:45Z</dcterms:created>
  <dcterms:modified xsi:type="dcterms:W3CDTF">2025-12-11T17:49:34Z</dcterms:modified>
</cp:coreProperties>
</file>