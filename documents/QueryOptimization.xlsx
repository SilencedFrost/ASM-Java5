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nrg\Documents\EasyEat\documents\"/>
    </mc:Choice>
  </mc:AlternateContent>
  <xr:revisionPtr revIDLastSave="0" documentId="13_ncr:1_{ED382AC2-27AC-480C-80B2-4A48B9F39560}" xr6:coauthVersionLast="47" xr6:coauthVersionMax="47" xr10:uidLastSave="{00000000-0000-0000-0000-000000000000}"/>
  <bookViews>
    <workbookView xWindow="-108" yWindow="-108" windowWidth="23256" windowHeight="12456" xr2:uid="{BB580483-3D38-4A7F-B534-83DD648157A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I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4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I6" i="1" l="1"/>
  <c r="I7" i="1"/>
</calcChain>
</file>

<file path=xl/sharedStrings.xml><?xml version="1.0" encoding="utf-8"?>
<sst xmlns="http://schemas.openxmlformats.org/spreadsheetml/2006/main" count="23" uniqueCount="23">
  <si>
    <t>reduction</t>
  </si>
  <si>
    <t>does apply?</t>
  </si>
  <si>
    <t>path</t>
  </si>
  <si>
    <t>/api/categories</t>
  </si>
  <si>
    <t>/api/categories/{id}</t>
  </si>
  <si>
    <t>/api/categories/products</t>
  </si>
  <si>
    <t>/api/categories/{categoryId}/products</t>
  </si>
  <si>
    <t>before (ms)</t>
  </si>
  <si>
    <t>after (ms)</t>
  </si>
  <si>
    <t>/api/products</t>
  </si>
  <si>
    <t>/api/products/{productId}</t>
  </si>
  <si>
    <t>/api/products/search</t>
  </si>
  <si>
    <t>/api/products/top/new</t>
  </si>
  <si>
    <t>/api/products/top/selling</t>
  </si>
  <si>
    <t>/api/sellers/{sellerId}/products</t>
  </si>
  <si>
    <t>Value type</t>
  </si>
  <si>
    <t>Maximum</t>
  </si>
  <si>
    <t>Minimum</t>
  </si>
  <si>
    <t>Average</t>
  </si>
  <si>
    <t>Median</t>
  </si>
  <si>
    <t>Calculated values</t>
  </si>
  <si>
    <t>value</t>
  </si>
  <si>
    <t>Optimization numbers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</si>
</sst>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i/>
      <sz val="9.8000000000000007"/>
      <color rgb="FF5F826B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/>
    </xf>
    <xf numFmtId="10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47D2-B0A8-4D6E-8E52-53364018EAEC}">
  <dimension ref="B2:J83"/>
  <sheetViews>
    <sheetView tabSelected="1" workbookViewId="0">
      <selection activeCell="K12" sqref="K12"/>
    </sheetView>
  </sheetViews>
  <sheetFormatPr defaultRowHeight="14.4"/>
  <cols>
    <col min="1" max="1" width="3.109375" customWidth="1"/>
    <col min="2" max="2" width="42.44140625" customWidth="1"/>
    <col min="3" max="3" width="10.21875" customWidth="1"/>
    <col min="5" max="5" width="11.21875" customWidth="1"/>
    <col min="6" max="6" width="11.33203125" style="2" customWidth="1"/>
    <col min="7" max="7" width="13.21875" customWidth="1"/>
    <col min="8" max="8" width="12.77734375" customWidth="1"/>
    <col min="9" max="9" width="12.109375" customWidth="1"/>
    <col min="10" max="10" width="12.6640625" customWidth="1"/>
  </cols>
  <sheetData>
    <row r="2" spans="2:10">
      <c r="B2" s="3" t="s">
        <v>22</v>
      </c>
      <c r="C2" s="3"/>
      <c r="D2" s="3"/>
      <c r="E2" s="3"/>
      <c r="F2" s="3"/>
      <c r="H2" s="3" t="s">
        <v>20</v>
      </c>
      <c r="I2" s="3"/>
    </row>
    <row r="3" spans="2:10">
      <c r="B3" t="s">
        <v>2</v>
      </c>
      <c r="C3" t="s">
        <v>7</v>
      </c>
      <c r="D3" t="s">
        <v>8</v>
      </c>
      <c r="E3" t="s">
        <v>1</v>
      </c>
      <c r="F3" s="2" t="s">
        <v>0</v>
      </c>
      <c r="H3" s="2" t="s">
        <v>15</v>
      </c>
      <c r="I3" s="2" t="s">
        <v>21</v>
      </c>
      <c r="J3" s="2"/>
    </row>
    <row r="4" spans="2:10">
      <c r="B4" s="1" t="s">
        <v>3</v>
      </c>
      <c r="C4">
        <v>9</v>
      </c>
      <c r="D4">
        <v>9</v>
      </c>
      <c r="E4" t="b">
        <v>0</v>
      </c>
      <c r="F4" s="2" t="str">
        <f>IF(E4, (D4-C4)/C4*-1, "")</f>
        <v/>
      </c>
      <c r="H4" t="s">
        <v>18</v>
      </c>
      <c r="I4" s="2">
        <f>AVERAGE($F:$F)</f>
        <v>0.51936507936507925</v>
      </c>
    </row>
    <row r="5" spans="2:10">
      <c r="B5" s="1" t="s">
        <v>4</v>
      </c>
      <c r="C5">
        <v>9</v>
      </c>
      <c r="D5">
        <v>9</v>
      </c>
      <c r="E5" t="b">
        <v>0</v>
      </c>
      <c r="F5" s="2" t="str">
        <f>IF(E5, (D5-C5)/C5*-1, "")</f>
        <v/>
      </c>
      <c r="H5" t="s">
        <v>19</v>
      </c>
      <c r="I5" s="2">
        <f>MEDIAN($F:$F)</f>
        <v>0.4</v>
      </c>
    </row>
    <row r="6" spans="2:10">
      <c r="B6" s="1" t="s">
        <v>5</v>
      </c>
      <c r="C6">
        <v>180</v>
      </c>
      <c r="D6">
        <v>40</v>
      </c>
      <c r="E6" t="b">
        <v>1</v>
      </c>
      <c r="F6" s="2">
        <f>IF(E6, (D6-C6)/C6*-1, "")</f>
        <v>0.77777777777777779</v>
      </c>
      <c r="H6" t="s">
        <v>16</v>
      </c>
      <c r="I6" s="2">
        <f>MAX($F:$F)</f>
        <v>0.77777777777777779</v>
      </c>
    </row>
    <row r="7" spans="2:10">
      <c r="B7" s="1" t="s">
        <v>6</v>
      </c>
      <c r="C7">
        <v>20</v>
      </c>
      <c r="D7">
        <v>12</v>
      </c>
      <c r="E7" t="b">
        <v>1</v>
      </c>
      <c r="F7" s="2">
        <f>IF(E7, (D7-C7)/C7*-1, "")</f>
        <v>0.4</v>
      </c>
      <c r="H7" t="s">
        <v>17</v>
      </c>
      <c r="I7" s="2">
        <f>MIN($F:$F)</f>
        <v>0.2857142857142857</v>
      </c>
    </row>
    <row r="8" spans="2:10">
      <c r="B8" s="1" t="s">
        <v>9</v>
      </c>
      <c r="C8">
        <v>120</v>
      </c>
      <c r="D8">
        <v>32</v>
      </c>
      <c r="E8" t="b">
        <v>1</v>
      </c>
      <c r="F8" s="2">
        <f>IF(E8, (D8-C8)/C8*-1, "")</f>
        <v>0.73333333333333328</v>
      </c>
    </row>
    <row r="9" spans="2:10">
      <c r="B9" s="1" t="s">
        <v>10</v>
      </c>
      <c r="C9">
        <v>9</v>
      </c>
      <c r="D9">
        <v>9</v>
      </c>
      <c r="E9" t="b">
        <v>0</v>
      </c>
      <c r="F9" s="2" t="str">
        <f>IF(E9, (D9-C9)/C9*-1, "")</f>
        <v/>
      </c>
    </row>
    <row r="10" spans="2:10">
      <c r="B10" s="1" t="s">
        <v>11</v>
      </c>
      <c r="C10">
        <v>14</v>
      </c>
      <c r="D10">
        <v>10</v>
      </c>
      <c r="E10" t="b">
        <v>1</v>
      </c>
      <c r="F10" s="2">
        <f>IF(E10, (D10-C10)/C10*-1, "")</f>
        <v>0.2857142857142857</v>
      </c>
    </row>
    <row r="11" spans="2:10">
      <c r="B11" s="1" t="s">
        <v>12</v>
      </c>
      <c r="C11">
        <v>15</v>
      </c>
      <c r="D11">
        <v>15</v>
      </c>
      <c r="E11" t="b">
        <v>0</v>
      </c>
      <c r="F11" s="2" t="str">
        <f>IF(E11, (D11-C11)/C11*-1, "")</f>
        <v/>
      </c>
    </row>
    <row r="12" spans="2:10">
      <c r="B12" s="1" t="s">
        <v>13</v>
      </c>
      <c r="C12">
        <v>15</v>
      </c>
      <c r="D12">
        <v>15</v>
      </c>
      <c r="E12" t="b">
        <v>0</v>
      </c>
      <c r="F12" s="2" t="str">
        <f>IF(E12, (D12-C12)/C12*-1, "")</f>
        <v/>
      </c>
    </row>
    <row r="13" spans="2:10">
      <c r="B13" s="1" t="s">
        <v>14</v>
      </c>
      <c r="C13">
        <v>25</v>
      </c>
      <c r="D13">
        <v>15</v>
      </c>
      <c r="E13" t="b">
        <v>1</v>
      </c>
      <c r="F13" s="2">
        <f>IF(E13, (D13-C13)/C13*-1, "")</f>
        <v>0.4</v>
      </c>
    </row>
    <row r="14" spans="2:10">
      <c r="F14" s="2" t="str">
        <f t="shared" ref="F14:F29" si="0">IF(E14, (D14-C14)/C14*-1, "")</f>
        <v/>
      </c>
    </row>
    <row r="15" spans="2:10">
      <c r="F15" s="2" t="str">
        <f t="shared" si="0"/>
        <v/>
      </c>
    </row>
    <row r="16" spans="2:10">
      <c r="F16" s="2" t="str">
        <f t="shared" si="0"/>
        <v/>
      </c>
    </row>
    <row r="17" spans="6:6">
      <c r="F17" s="2" t="str">
        <f t="shared" si="0"/>
        <v/>
      </c>
    </row>
    <row r="18" spans="6:6">
      <c r="F18" s="2" t="str">
        <f t="shared" si="0"/>
        <v/>
      </c>
    </row>
    <row r="19" spans="6:6">
      <c r="F19" s="2" t="str">
        <f t="shared" si="0"/>
        <v/>
      </c>
    </row>
    <row r="20" spans="6:6">
      <c r="F20" s="2" t="str">
        <f t="shared" si="0"/>
        <v/>
      </c>
    </row>
    <row r="21" spans="6:6">
      <c r="F21" s="2" t="str">
        <f t="shared" si="0"/>
        <v/>
      </c>
    </row>
    <row r="22" spans="6:6">
      <c r="F22" s="2" t="str">
        <f t="shared" si="0"/>
        <v/>
      </c>
    </row>
    <row r="23" spans="6:6">
      <c r="F23" s="2" t="str">
        <f t="shared" si="0"/>
        <v/>
      </c>
    </row>
    <row r="24" spans="6:6">
      <c r="F24" s="2" t="str">
        <f t="shared" si="0"/>
        <v/>
      </c>
    </row>
    <row r="25" spans="6:6">
      <c r="F25" s="2" t="str">
        <f t="shared" si="0"/>
        <v/>
      </c>
    </row>
    <row r="26" spans="6:6">
      <c r="F26" s="2" t="str">
        <f t="shared" si="0"/>
        <v/>
      </c>
    </row>
    <row r="27" spans="6:6">
      <c r="F27" s="2" t="str">
        <f t="shared" si="0"/>
        <v/>
      </c>
    </row>
    <row r="28" spans="6:6">
      <c r="F28" s="2" t="str">
        <f t="shared" si="0"/>
        <v/>
      </c>
    </row>
    <row r="29" spans="6:6">
      <c r="F29" s="2" t="str">
        <f t="shared" si="0"/>
        <v/>
      </c>
    </row>
    <row r="30" spans="6:6">
      <c r="F30" s="2" t="str">
        <f t="shared" ref="F30:F67" si="1">IF(E30, ABS((D30-C30)/C30), "")</f>
        <v/>
      </c>
    </row>
    <row r="31" spans="6:6">
      <c r="F31" s="2" t="str">
        <f t="shared" si="1"/>
        <v/>
      </c>
    </row>
    <row r="32" spans="6:6">
      <c r="F32" s="2" t="str">
        <f t="shared" si="1"/>
        <v/>
      </c>
    </row>
    <row r="33" spans="6:6">
      <c r="F33" s="2" t="str">
        <f t="shared" si="1"/>
        <v/>
      </c>
    </row>
    <row r="34" spans="6:6">
      <c r="F34" s="2" t="str">
        <f t="shared" si="1"/>
        <v/>
      </c>
    </row>
    <row r="35" spans="6:6">
      <c r="F35" s="2" t="str">
        <f t="shared" si="1"/>
        <v/>
      </c>
    </row>
    <row r="36" spans="6:6">
      <c r="F36" s="2" t="str">
        <f t="shared" si="1"/>
        <v/>
      </c>
    </row>
    <row r="37" spans="6:6">
      <c r="F37" s="2" t="str">
        <f t="shared" si="1"/>
        <v/>
      </c>
    </row>
    <row r="38" spans="6:6">
      <c r="F38" s="2" t="str">
        <f t="shared" si="1"/>
        <v/>
      </c>
    </row>
    <row r="39" spans="6:6">
      <c r="F39" s="2" t="str">
        <f t="shared" si="1"/>
        <v/>
      </c>
    </row>
    <row r="40" spans="6:6">
      <c r="F40" s="2" t="str">
        <f t="shared" si="1"/>
        <v/>
      </c>
    </row>
    <row r="41" spans="6:6">
      <c r="F41" s="2" t="str">
        <f t="shared" si="1"/>
        <v/>
      </c>
    </row>
    <row r="42" spans="6:6">
      <c r="F42" s="2" t="str">
        <f t="shared" si="1"/>
        <v/>
      </c>
    </row>
    <row r="43" spans="6:6">
      <c r="F43" s="2" t="str">
        <f t="shared" si="1"/>
        <v/>
      </c>
    </row>
    <row r="44" spans="6:6">
      <c r="F44" s="2" t="str">
        <f t="shared" si="1"/>
        <v/>
      </c>
    </row>
    <row r="45" spans="6:6">
      <c r="F45" s="2" t="str">
        <f t="shared" si="1"/>
        <v/>
      </c>
    </row>
    <row r="46" spans="6:6">
      <c r="F46" s="2" t="str">
        <f t="shared" si="1"/>
        <v/>
      </c>
    </row>
    <row r="47" spans="6:6">
      <c r="F47" s="2" t="str">
        <f t="shared" si="1"/>
        <v/>
      </c>
    </row>
    <row r="48" spans="6:6">
      <c r="F48" s="2" t="str">
        <f t="shared" si="1"/>
        <v/>
      </c>
    </row>
    <row r="49" spans="6:6">
      <c r="F49" s="2" t="str">
        <f t="shared" si="1"/>
        <v/>
      </c>
    </row>
    <row r="50" spans="6:6">
      <c r="F50" s="2" t="str">
        <f t="shared" si="1"/>
        <v/>
      </c>
    </row>
    <row r="51" spans="6:6">
      <c r="F51" s="2" t="str">
        <f t="shared" si="1"/>
        <v/>
      </c>
    </row>
    <row r="52" spans="6:6">
      <c r="F52" s="2" t="str">
        <f t="shared" si="1"/>
        <v/>
      </c>
    </row>
    <row r="53" spans="6:6">
      <c r="F53" s="2" t="str">
        <f t="shared" si="1"/>
        <v/>
      </c>
    </row>
    <row r="54" spans="6:6">
      <c r="F54" s="2" t="str">
        <f t="shared" si="1"/>
        <v/>
      </c>
    </row>
    <row r="55" spans="6:6">
      <c r="F55" s="2" t="str">
        <f t="shared" si="1"/>
        <v/>
      </c>
    </row>
    <row r="56" spans="6:6">
      <c r="F56" s="2" t="str">
        <f t="shared" si="1"/>
        <v/>
      </c>
    </row>
    <row r="57" spans="6:6">
      <c r="F57" s="2" t="str">
        <f t="shared" si="1"/>
        <v/>
      </c>
    </row>
    <row r="58" spans="6:6">
      <c r="F58" s="2" t="str">
        <f t="shared" si="1"/>
        <v/>
      </c>
    </row>
    <row r="59" spans="6:6">
      <c r="F59" s="2" t="str">
        <f t="shared" si="1"/>
        <v/>
      </c>
    </row>
    <row r="60" spans="6:6">
      <c r="F60" s="2" t="str">
        <f t="shared" si="1"/>
        <v/>
      </c>
    </row>
    <row r="61" spans="6:6">
      <c r="F61" s="2" t="str">
        <f t="shared" si="1"/>
        <v/>
      </c>
    </row>
    <row r="62" spans="6:6">
      <c r="F62" s="2" t="str">
        <f t="shared" si="1"/>
        <v/>
      </c>
    </row>
    <row r="63" spans="6:6">
      <c r="F63" s="2" t="str">
        <f t="shared" si="1"/>
        <v/>
      </c>
    </row>
    <row r="64" spans="6:6">
      <c r="F64" s="2" t="str">
        <f t="shared" si="1"/>
        <v/>
      </c>
    </row>
    <row r="65" spans="6:6">
      <c r="F65" s="2" t="str">
        <f t="shared" si="1"/>
        <v/>
      </c>
    </row>
    <row r="66" spans="6:6">
      <c r="F66" s="2" t="str">
        <f t="shared" si="1"/>
        <v/>
      </c>
    </row>
    <row r="67" spans="6:6">
      <c r="F67" s="2" t="str">
        <f t="shared" si="1"/>
        <v/>
      </c>
    </row>
    <row r="68" spans="6:6">
      <c r="F68" s="2" t="str">
        <f t="shared" ref="F68:F83" si="2">IF(E68, ABS((D68-C68)/C68), "")</f>
        <v/>
      </c>
    </row>
    <row r="69" spans="6:6">
      <c r="F69" s="2" t="str">
        <f t="shared" si="2"/>
        <v/>
      </c>
    </row>
    <row r="70" spans="6:6">
      <c r="F70" s="2" t="str">
        <f t="shared" si="2"/>
        <v/>
      </c>
    </row>
    <row r="71" spans="6:6">
      <c r="F71" s="2" t="str">
        <f t="shared" si="2"/>
        <v/>
      </c>
    </row>
    <row r="72" spans="6:6">
      <c r="F72" s="2" t="str">
        <f t="shared" si="2"/>
        <v/>
      </c>
    </row>
    <row r="73" spans="6:6">
      <c r="F73" s="2" t="str">
        <f t="shared" si="2"/>
        <v/>
      </c>
    </row>
    <row r="74" spans="6:6">
      <c r="F74" s="2" t="str">
        <f t="shared" si="2"/>
        <v/>
      </c>
    </row>
    <row r="75" spans="6:6">
      <c r="F75" s="2" t="str">
        <f t="shared" si="2"/>
        <v/>
      </c>
    </row>
    <row r="76" spans="6:6">
      <c r="F76" s="2" t="str">
        <f t="shared" si="2"/>
        <v/>
      </c>
    </row>
    <row r="77" spans="6:6">
      <c r="F77" s="2" t="str">
        <f t="shared" si="2"/>
        <v/>
      </c>
    </row>
    <row r="78" spans="6:6">
      <c r="F78" s="2" t="str">
        <f t="shared" si="2"/>
        <v/>
      </c>
    </row>
    <row r="79" spans="6:6">
      <c r="F79" s="2" t="str">
        <f t="shared" si="2"/>
        <v/>
      </c>
    </row>
    <row r="80" spans="6:6">
      <c r="F80" s="2" t="str">
        <f t="shared" si="2"/>
        <v/>
      </c>
    </row>
    <row r="81" spans="6:6">
      <c r="F81" s="2" t="str">
        <f t="shared" si="2"/>
        <v/>
      </c>
    </row>
    <row r="82" spans="6:6">
      <c r="F82" s="2" t="str">
        <f t="shared" si="2"/>
        <v/>
      </c>
    </row>
    <row r="83" spans="6:6">
      <c r="F83" s="2" t="str">
        <f t="shared" si="2"/>
        <v/>
      </c>
    </row>
  </sheetData>
  <mergeCells count="2">
    <mergeCell ref="H2:I2"/>
    <mergeCell ref="B2:F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Silenced Frost</dc:creator>
  <cp:lastModifiedBy>Silenced Frost</cp:lastModifiedBy>
  <dcterms:created xsi:type="dcterms:W3CDTF">2025-12-08T05:35:45Z</dcterms:created>
  <dcterms:modified xsi:type="dcterms:W3CDTF">2025-12-08T07:29:18Z</dcterms:modified>
</cp:coreProperties>
</file>